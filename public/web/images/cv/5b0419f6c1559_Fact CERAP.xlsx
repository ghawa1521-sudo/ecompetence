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92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TEPHENJLO\Downloads\"/>
    </mc:Choice>
  </mc:AlternateContent>
  <xr:revisionPtr revIDLastSave="0" documentId="10_ncr:8100000_{3DCFCFB2-3629-4CCD-A430-A2BB51FE6399}" xr6:coauthVersionLast="32" xr6:coauthVersionMax="32" xr10:uidLastSave="{00000000-0000-0000-0000-000000000000}"/>
  <bookViews>
    <workbookView xWindow="0" yWindow="0" windowWidth="20490" windowHeight="8130" xr2:uid="{00000000-000D-0000-FFFF-FFFF00000000}"/>
  </bookViews>
  <sheets>
    <sheet name="Feuil1" sheetId="1" r:id="rId1"/>
    <sheet name="Feuil2" sheetId="2" r:id="rId2"/>
    <sheet name="Feuil3" sheetId="3" r:id="rId3"/>
  </sheets>
  <calcPr calcId="162913" calcMode="manual"/>
</workbook>
</file>

<file path=xl/calcChain.xml><?xml version="1.0" encoding="utf-8"?>
<calcChain xmlns="http://schemas.openxmlformats.org/spreadsheetml/2006/main">
  <c r="D39" i="1" l="1"/>
  <c r="D36" i="1"/>
  <c r="D28" i="1"/>
  <c r="D58" i="1" l="1"/>
  <c r="D60" i="1" s="1"/>
  <c r="D61" i="1" s="1"/>
</calcChain>
</file>

<file path=xl/sharedStrings.xml><?xml version="1.0" encoding="utf-8"?>
<sst xmlns="http://schemas.openxmlformats.org/spreadsheetml/2006/main" count="21" uniqueCount="21">
  <si>
    <t xml:space="preserve"> </t>
  </si>
  <si>
    <t>ABIDJAN le 07/05/18</t>
  </si>
  <si>
    <t>FACTURE PROFORMA N°00019/05-18</t>
  </si>
  <si>
    <t xml:space="preserve">                                                                          CERAP</t>
  </si>
  <si>
    <t>QUANTITE</t>
  </si>
  <si>
    <t>DESIGNATION</t>
  </si>
  <si>
    <t>PU HT</t>
  </si>
  <si>
    <t>PT HT</t>
  </si>
  <si>
    <t>Polos blanc piqués avec col bleu imprimés</t>
  </si>
  <si>
    <t>Tee-shirts blanc 1/40 avec col bleu et</t>
  </si>
  <si>
    <t xml:space="preserve"> manche bleu imprimés</t>
  </si>
  <si>
    <t>blanche imprimés</t>
  </si>
  <si>
    <t xml:space="preserve">                                                                           MONTANT HT</t>
  </si>
  <si>
    <t xml:space="preserve">                                                                                   TVA 18%</t>
  </si>
  <si>
    <t xml:space="preserve">                                                                             NET A PAYER</t>
  </si>
  <si>
    <t>Conditions de règlement: 70% à la commande</t>
  </si>
  <si>
    <t xml:space="preserve">                                          30% à la livraison</t>
  </si>
  <si>
    <t>Délais de validité de la proforma 1 mois</t>
  </si>
  <si>
    <t xml:space="preserve">                                                           cent dix francs </t>
  </si>
  <si>
    <t>Tee-shirts blanc 1/50 col bleu roi et manche</t>
  </si>
  <si>
    <r>
      <t>Arretée la présente facture à la somme de</t>
    </r>
    <r>
      <rPr>
        <b/>
        <sz val="11"/>
        <rFont val="Arial"/>
        <family val="2"/>
      </rPr>
      <t xml:space="preserve">: Un million deux cent huit mille neuf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</si>
</sst>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43" formatCode="_-* #,##0.00\ _€_-;\-* #,##0.00\ _€_-;_-* &quot;-&quot;??\ _€_-;_-@_-"/>
    <numFmt numFmtId="164" formatCode="_-* #,##0\ _€_-;\-* #,##0\ _€_-;_-* &quot;-&quot;??\ _€_-;_-@_-"/>
  </numFmts>
  <fonts count="1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name val="Arial"/>
      <family val="2"/>
    </font>
    <font>
      <b/>
      <sz val="11"/>
      <name val="Arial"/>
      <family val="2"/>
    </font>
    <font>
      <b/>
      <sz val="14"/>
      <name val="Arial"/>
      <family val="2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1"/>
      <name val="Bodoni MT"/>
      <family val="1"/>
    </font>
    <font>
      <sz val="11"/>
      <name val="Arial"/>
      <family val="2"/>
    </font>
    <font>
      <b/>
      <sz val="12"/>
      <name val="Bodoni MT"/>
      <family val="1"/>
    </font>
    <font>
      <u/>
      <sz val="10"/>
      <name val="Arial"/>
      <family val="2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4">
    <xf numFmtId="0" fontId="0" fillId="0" borderId="0" xfId="0"/>
    <xf numFmtId="0" fontId="3" fillId="0" borderId="1" xfId="0" applyFont="1" applyBorder="1"/>
    <xf numFmtId="0" fontId="0" fillId="0" borderId="0" xfId="0" applyBorder="1"/>
    <xf numFmtId="0" fontId="3" fillId="0" borderId="0" xfId="0" applyFont="1" applyBorder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/>
    <xf numFmtId="0" fontId="9" fillId="0" borderId="1" xfId="0" applyFont="1" applyBorder="1" applyAlignment="1">
      <alignment horizontal="center"/>
    </xf>
    <xf numFmtId="0" fontId="9" fillId="0" borderId="2" xfId="0" applyFont="1" applyBorder="1" applyAlignment="1">
      <alignment horizontal="center"/>
    </xf>
    <xf numFmtId="0" fontId="10" fillId="0" borderId="3" xfId="0" applyFont="1" applyBorder="1"/>
    <xf numFmtId="0" fontId="10" fillId="0" borderId="0" xfId="0" applyFont="1" applyBorder="1"/>
    <xf numFmtId="0" fontId="10" fillId="0" borderId="3" xfId="0" applyFont="1" applyBorder="1" applyAlignment="1">
      <alignment horizontal="center"/>
    </xf>
    <xf numFmtId="164" fontId="10" fillId="0" borderId="0" xfId="1" applyNumberFormat="1" applyFont="1" applyBorder="1"/>
    <xf numFmtId="164" fontId="10" fillId="0" borderId="3" xfId="1" applyNumberFormat="1" applyFont="1" applyBorder="1"/>
    <xf numFmtId="0" fontId="10" fillId="0" borderId="4" xfId="0" applyFont="1" applyBorder="1"/>
    <xf numFmtId="0" fontId="10" fillId="0" borderId="5" xfId="0" applyFont="1" applyBorder="1"/>
    <xf numFmtId="0" fontId="11" fillId="0" borderId="0" xfId="0" applyFont="1"/>
    <xf numFmtId="164" fontId="10" fillId="0" borderId="6" xfId="1" applyNumberFormat="1" applyFont="1" applyBorder="1"/>
    <xf numFmtId="164" fontId="10" fillId="0" borderId="1" xfId="1" applyNumberFormat="1" applyFont="1" applyBorder="1"/>
    <xf numFmtId="164" fontId="10" fillId="0" borderId="4" xfId="1" applyNumberFormat="1" applyFont="1" applyBorder="1"/>
    <xf numFmtId="0" fontId="12" fillId="0" borderId="0" xfId="0" applyFont="1"/>
    <xf numFmtId="0" fontId="2" fillId="0" borderId="0" xfId="0" applyFont="1"/>
  </cellXfs>
  <cellStyles count="2">
    <cellStyle name="Milliers" xfId="1" builtinId="3"/>
    <cellStyle name="Normal" xfId="0" builtinId="0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9" defaultPivotStyle="PivotStyleLight16">
    <tableStyle name="MySqlDefault" pivot="0" table="0" count="2" xr9:uid="{32540A11-E901-4B29-9C69-25344732CD66}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0</xdr:rowOff>
    </xdr:from>
    <xdr:to>
      <xdr:col>2</xdr:col>
      <xdr:colOff>695325</xdr:colOff>
      <xdr:row>7</xdr:row>
      <xdr:rowOff>66675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62000" y="381000"/>
          <a:ext cx="3810000" cy="10191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0:D131"/>
  <sheetViews>
    <sheetView tabSelected="1" topLeftCell="A36" zoomScale="85" zoomScaleNormal="85" workbookViewId="0">
      <selection activeCell="G60" sqref="G60"/>
    </sheetView>
  </sheetViews>
  <sheetFormatPr baseColWidth="10" defaultRowHeight="15" x14ac:dyDescent="0.25"/>
  <cols>
    <col min="2" max="2" width="46.7109375" customWidth="1"/>
    <col min="3" max="3" width="14.7109375" customWidth="1"/>
    <col min="4" max="4" width="16.7109375" customWidth="1"/>
  </cols>
  <sheetData>
    <row r="10" spans="1:3" x14ac:dyDescent="0.25">
      <c r="A10" t="s">
        <v>0</v>
      </c>
      <c r="C10" t="s">
        <v>1</v>
      </c>
    </row>
    <row r="12" spans="1:3" ht="15.75" thickBot="1" x14ac:dyDescent="0.3"/>
    <row r="13" spans="1:3" ht="15.75" thickBot="1" x14ac:dyDescent="0.3">
      <c r="B13" s="1" t="s">
        <v>2</v>
      </c>
      <c r="C13" s="2"/>
    </row>
    <row r="14" spans="1:3" x14ac:dyDescent="0.25">
      <c r="A14" s="3"/>
      <c r="B14" s="3"/>
      <c r="C14" s="2"/>
    </row>
    <row r="15" spans="1:3" x14ac:dyDescent="0.25">
      <c r="B15" s="4"/>
    </row>
    <row r="16" spans="1:3" hidden="1" x14ac:dyDescent="0.25">
      <c r="B16" s="4"/>
    </row>
    <row r="17" spans="1:4" hidden="1" x14ac:dyDescent="0.25">
      <c r="B17" s="4"/>
    </row>
    <row r="18" spans="1:4" ht="18.75" x14ac:dyDescent="0.3">
      <c r="B18" s="5" t="s">
        <v>3</v>
      </c>
      <c r="C18" s="6"/>
    </row>
    <row r="19" spans="1:4" ht="21.75" thickBot="1" x14ac:dyDescent="0.4">
      <c r="B19" s="7"/>
      <c r="C19" s="8"/>
    </row>
    <row r="20" spans="1:4" ht="15.75" thickBot="1" x14ac:dyDescent="0.3">
      <c r="A20" s="9" t="s">
        <v>4</v>
      </c>
      <c r="B20" s="9" t="s">
        <v>5</v>
      </c>
      <c r="C20" s="10" t="s">
        <v>6</v>
      </c>
      <c r="D20" s="9" t="s">
        <v>7</v>
      </c>
    </row>
    <row r="21" spans="1:4" x14ac:dyDescent="0.25">
      <c r="A21" s="11"/>
      <c r="B21" s="11"/>
      <c r="C21" s="12"/>
      <c r="D21" s="11"/>
    </row>
    <row r="22" spans="1:4" hidden="1" x14ac:dyDescent="0.25">
      <c r="A22" s="13"/>
      <c r="B22" s="11"/>
      <c r="C22" s="14"/>
      <c r="D22" s="15"/>
    </row>
    <row r="23" spans="1:4" hidden="1" x14ac:dyDescent="0.25">
      <c r="A23" s="13"/>
      <c r="B23" s="11"/>
      <c r="C23" s="14"/>
      <c r="D23" s="15"/>
    </row>
    <row r="24" spans="1:4" hidden="1" x14ac:dyDescent="0.25">
      <c r="A24" s="13"/>
      <c r="B24" s="11"/>
      <c r="C24" s="14"/>
      <c r="D24" s="15"/>
    </row>
    <row r="25" spans="1:4" hidden="1" x14ac:dyDescent="0.25">
      <c r="A25" s="13"/>
      <c r="B25" s="11"/>
      <c r="C25" s="14"/>
      <c r="D25" s="15"/>
    </row>
    <row r="26" spans="1:4" hidden="1" x14ac:dyDescent="0.25">
      <c r="A26" s="13"/>
      <c r="B26" s="11"/>
      <c r="C26" s="14"/>
      <c r="D26" s="15"/>
    </row>
    <row r="27" spans="1:4" hidden="1" x14ac:dyDescent="0.25">
      <c r="A27" s="13"/>
      <c r="B27" s="11"/>
      <c r="C27" s="14"/>
      <c r="D27" s="15"/>
    </row>
    <row r="28" spans="1:4" x14ac:dyDescent="0.25">
      <c r="A28" s="13">
        <v>20</v>
      </c>
      <c r="B28" s="11" t="s">
        <v>8</v>
      </c>
      <c r="C28" s="14">
        <v>4000</v>
      </c>
      <c r="D28" s="15">
        <f>A28*C28</f>
        <v>80000</v>
      </c>
    </row>
    <row r="29" spans="1:4" x14ac:dyDescent="0.25">
      <c r="A29" s="13"/>
      <c r="B29" s="11"/>
      <c r="C29" s="14"/>
      <c r="D29" s="15"/>
    </row>
    <row r="30" spans="1:4" hidden="1" x14ac:dyDescent="0.25">
      <c r="A30" s="13"/>
      <c r="B30" s="11"/>
      <c r="C30" s="14"/>
      <c r="D30" s="15"/>
    </row>
    <row r="31" spans="1:4" hidden="1" x14ac:dyDescent="0.25">
      <c r="A31" s="13"/>
      <c r="B31" s="11"/>
      <c r="C31" s="14"/>
      <c r="D31" s="15"/>
    </row>
    <row r="32" spans="1:4" hidden="1" x14ac:dyDescent="0.25">
      <c r="A32" s="13"/>
      <c r="B32" s="11"/>
      <c r="C32" s="14"/>
      <c r="D32" s="15"/>
    </row>
    <row r="33" spans="1:4" hidden="1" x14ac:dyDescent="0.25">
      <c r="A33" s="13"/>
      <c r="B33" s="11"/>
      <c r="C33" s="14"/>
      <c r="D33" s="15"/>
    </row>
    <row r="34" spans="1:4" hidden="1" x14ac:dyDescent="0.25">
      <c r="A34" s="13"/>
      <c r="B34" s="11"/>
      <c r="C34" s="14"/>
      <c r="D34" s="15"/>
    </row>
    <row r="35" spans="1:4" hidden="1" x14ac:dyDescent="0.25">
      <c r="A35" s="13"/>
      <c r="B35" s="11"/>
      <c r="C35" s="14"/>
      <c r="D35" s="15"/>
    </row>
    <row r="36" spans="1:4" x14ac:dyDescent="0.25">
      <c r="A36" s="13">
        <v>115</v>
      </c>
      <c r="B36" s="11" t="s">
        <v>9</v>
      </c>
      <c r="C36" s="14">
        <v>2300</v>
      </c>
      <c r="D36" s="15">
        <f>A36*C36</f>
        <v>264500</v>
      </c>
    </row>
    <row r="37" spans="1:4" x14ac:dyDescent="0.25">
      <c r="A37" s="13"/>
      <c r="B37" s="11" t="s">
        <v>10</v>
      </c>
      <c r="C37" s="14"/>
      <c r="D37" s="15"/>
    </row>
    <row r="38" spans="1:4" x14ac:dyDescent="0.25">
      <c r="A38" s="13"/>
      <c r="B38" s="11"/>
      <c r="C38" s="14"/>
      <c r="D38" s="15"/>
    </row>
    <row r="39" spans="1:4" x14ac:dyDescent="0.25">
      <c r="A39" s="13">
        <v>400</v>
      </c>
      <c r="B39" s="11" t="s">
        <v>19</v>
      </c>
      <c r="C39" s="14">
        <v>1700</v>
      </c>
      <c r="D39" s="15">
        <f>A39*C39</f>
        <v>680000</v>
      </c>
    </row>
    <row r="40" spans="1:4" x14ac:dyDescent="0.25">
      <c r="A40" s="13"/>
      <c r="B40" s="11" t="s">
        <v>11</v>
      </c>
      <c r="C40" s="14"/>
      <c r="D40" s="15"/>
    </row>
    <row r="41" spans="1:4" x14ac:dyDescent="0.25">
      <c r="A41" s="13"/>
      <c r="B41" s="11"/>
      <c r="C41" s="14"/>
      <c r="D41" s="15"/>
    </row>
    <row r="42" spans="1:4" hidden="1" x14ac:dyDescent="0.25">
      <c r="A42" s="13"/>
      <c r="B42" s="11"/>
      <c r="C42" s="14"/>
      <c r="D42" s="15"/>
    </row>
    <row r="43" spans="1:4" hidden="1" x14ac:dyDescent="0.25">
      <c r="A43" s="13"/>
      <c r="B43" s="11"/>
      <c r="C43" s="14"/>
      <c r="D43" s="15"/>
    </row>
    <row r="44" spans="1:4" hidden="1" x14ac:dyDescent="0.25">
      <c r="A44" s="13"/>
      <c r="B44" s="11"/>
      <c r="C44" s="14"/>
      <c r="D44" s="15"/>
    </row>
    <row r="45" spans="1:4" hidden="1" x14ac:dyDescent="0.25">
      <c r="A45" s="13"/>
      <c r="B45" s="11"/>
      <c r="C45" s="14"/>
      <c r="D45" s="15"/>
    </row>
    <row r="46" spans="1:4" hidden="1" x14ac:dyDescent="0.25">
      <c r="A46" s="13"/>
      <c r="B46" s="11"/>
      <c r="C46" s="14"/>
      <c r="D46" s="15"/>
    </row>
    <row r="47" spans="1:4" hidden="1" x14ac:dyDescent="0.25">
      <c r="A47" s="13"/>
      <c r="B47" s="11"/>
      <c r="C47" s="14"/>
      <c r="D47" s="15"/>
    </row>
    <row r="48" spans="1:4" hidden="1" x14ac:dyDescent="0.25">
      <c r="A48" s="13"/>
      <c r="B48" s="11"/>
      <c r="C48" s="14"/>
      <c r="D48" s="15"/>
    </row>
    <row r="49" spans="1:4" hidden="1" x14ac:dyDescent="0.25">
      <c r="A49" s="13"/>
      <c r="B49" s="11"/>
      <c r="C49" s="14"/>
      <c r="D49" s="15"/>
    </row>
    <row r="50" spans="1:4" hidden="1" x14ac:dyDescent="0.25">
      <c r="A50" s="13"/>
      <c r="B50" s="11"/>
      <c r="C50" s="14"/>
      <c r="D50" s="15"/>
    </row>
    <row r="51" spans="1:4" hidden="1" x14ac:dyDescent="0.25">
      <c r="A51" s="13"/>
      <c r="B51" s="11"/>
      <c r="C51" s="14"/>
      <c r="D51" s="15"/>
    </row>
    <row r="52" spans="1:4" hidden="1" x14ac:dyDescent="0.25">
      <c r="A52" s="13"/>
      <c r="B52" s="11"/>
      <c r="C52" s="14"/>
      <c r="D52" s="15"/>
    </row>
    <row r="53" spans="1:4" hidden="1" x14ac:dyDescent="0.25">
      <c r="A53" s="13"/>
      <c r="B53" s="11"/>
      <c r="C53" s="14"/>
      <c r="D53" s="15"/>
    </row>
    <row r="54" spans="1:4" hidden="1" x14ac:dyDescent="0.25">
      <c r="A54" s="13"/>
      <c r="B54" s="11"/>
      <c r="C54" s="14"/>
      <c r="D54" s="15"/>
    </row>
    <row r="55" spans="1:4" hidden="1" x14ac:dyDescent="0.25">
      <c r="A55" s="13"/>
      <c r="B55" s="11"/>
      <c r="C55" s="14"/>
      <c r="D55" s="15"/>
    </row>
    <row r="56" spans="1:4" hidden="1" x14ac:dyDescent="0.25">
      <c r="A56" s="13"/>
      <c r="B56" s="11"/>
      <c r="C56" s="14"/>
      <c r="D56" s="15"/>
    </row>
    <row r="57" spans="1:4" ht="15.75" thickBot="1" x14ac:dyDescent="0.3">
      <c r="A57" s="16"/>
      <c r="B57" s="16"/>
      <c r="C57" s="17"/>
      <c r="D57" s="11"/>
    </row>
    <row r="58" spans="1:4" ht="17.25" thickBot="1" x14ac:dyDescent="0.35">
      <c r="B58" s="18" t="s">
        <v>12</v>
      </c>
      <c r="C58" s="18"/>
      <c r="D58" s="19">
        <f>SUM(D28+D36+D39)</f>
        <v>1024500</v>
      </c>
    </row>
    <row r="59" spans="1:4" ht="17.25" hidden="1" thickBot="1" x14ac:dyDescent="0.35">
      <c r="B59" s="18"/>
      <c r="C59" s="18"/>
      <c r="D59" s="19"/>
    </row>
    <row r="60" spans="1:4" ht="17.25" thickBot="1" x14ac:dyDescent="0.35">
      <c r="B60" s="18" t="s">
        <v>13</v>
      </c>
      <c r="C60" s="18"/>
      <c r="D60" s="20">
        <f>D58*18%</f>
        <v>184410</v>
      </c>
    </row>
    <row r="61" spans="1:4" ht="17.25" thickBot="1" x14ac:dyDescent="0.35">
      <c r="B61" s="18" t="s">
        <v>14</v>
      </c>
      <c r="C61" s="18"/>
      <c r="D61" s="21">
        <f>SUM(D58+D60)</f>
        <v>1208910</v>
      </c>
    </row>
    <row r="62" spans="1:4" ht="16.5" x14ac:dyDescent="0.3">
      <c r="B62" s="18"/>
      <c r="C62" s="18"/>
    </row>
    <row r="63" spans="1:4" ht="16.5" x14ac:dyDescent="0.3">
      <c r="B63" s="18"/>
      <c r="C63" s="18"/>
    </row>
    <row r="64" spans="1:4" ht="16.5" x14ac:dyDescent="0.3">
      <c r="B64" s="18" t="s">
        <v>15</v>
      </c>
    </row>
    <row r="65" spans="1:2" ht="16.5" x14ac:dyDescent="0.3">
      <c r="B65" s="18" t="s">
        <v>16</v>
      </c>
    </row>
    <row r="66" spans="1:2" ht="16.5" x14ac:dyDescent="0.3">
      <c r="B66" s="18" t="s">
        <v>17</v>
      </c>
    </row>
    <row r="69" spans="1:2" x14ac:dyDescent="0.25">
      <c r="A69" s="22" t="s">
        <v>20</v>
      </c>
    </row>
    <row r="70" spans="1:2" x14ac:dyDescent="0.25">
      <c r="B70" s="23" t="s">
        <v>18</v>
      </c>
    </row>
    <row r="94" hidden="1" x14ac:dyDescent="0.25"/>
    <row r="95" hidden="1" x14ac:dyDescent="0.25"/>
    <row r="96" hidden="1" x14ac:dyDescent="0.25"/>
    <row r="97" hidden="1" x14ac:dyDescent="0.25"/>
    <row r="98" hidden="1" x14ac:dyDescent="0.25"/>
    <row r="99" hidden="1" x14ac:dyDescent="0.25"/>
    <row r="102" hidden="1" x14ac:dyDescent="0.25"/>
    <row r="103" hidden="1" x14ac:dyDescent="0.25"/>
    <row r="104" hidden="1" x14ac:dyDescent="0.25"/>
    <row r="105" hidden="1" x14ac:dyDescent="0.25"/>
    <row r="106" hidden="1" x14ac:dyDescent="0.25"/>
    <row r="107" hidden="1" x14ac:dyDescent="0.25"/>
    <row r="115" hidden="1" x14ac:dyDescent="0.25"/>
    <row r="116" hidden="1" x14ac:dyDescent="0.25"/>
    <row r="117" hidden="1" x14ac:dyDescent="0.25"/>
    <row r="118" hidden="1" x14ac:dyDescent="0.25"/>
    <row r="119" hidden="1" x14ac:dyDescent="0.25"/>
    <row r="120" hidden="1" x14ac:dyDescent="0.25"/>
    <row r="121" hidden="1" x14ac:dyDescent="0.25"/>
    <row r="122" hidden="1" x14ac:dyDescent="0.25"/>
    <row r="123" hidden="1" x14ac:dyDescent="0.25"/>
    <row r="124" hidden="1" x14ac:dyDescent="0.25"/>
    <row r="125" hidden="1" x14ac:dyDescent="0.25"/>
    <row r="126" hidden="1" x14ac:dyDescent="0.25"/>
    <row r="127" hidden="1" x14ac:dyDescent="0.25"/>
    <row r="128" hidden="1" x14ac:dyDescent="0.25"/>
    <row r="131" hidden="1" x14ac:dyDescent="0.25"/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Feuil1</vt:lpstr>
      <vt:lpstr>Feuil2</vt:lpstr>
      <vt:lpstr>Feuil3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CATHY</dc:creator>
  <cp:lastModifiedBy>STEPHENJLO</cp:lastModifiedBy>
  <dcterms:created xsi:type="dcterms:W3CDTF">2018-05-07T15:42:42Z</dcterms:created>
  <dcterms:modified xsi:type="dcterms:W3CDTF">2018-05-16T18:06:52Z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82ba491e-27f1-4a05-9849-8f94fd8b0f28</vt:lpwstr>
  </property>
</Properties>
</file>